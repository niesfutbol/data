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epgob-my.sharepoint.com/personal/brojas_indep_gob_mx/Documents/Documentos/Personal/futbol/Bases de datos/"/>
    </mc:Choice>
  </mc:AlternateContent>
  <xr:revisionPtr revIDLastSave="3" documentId="11_6A80AC7C972D956F3AFDB86602920329AB1E9F75" xr6:coauthVersionLast="47" xr6:coauthVersionMax="47" xr10:uidLastSave="{B3EE6FE9-4F10-40AE-95CD-3B9A68B10C3A}"/>
  <bookViews>
    <workbookView xWindow="-120" yWindow="-120" windowWidth="20730" windowHeight="11040" xr2:uid="{00000000-000D-0000-FFFF-FFFF00000000}"/>
  </bookViews>
  <sheets>
    <sheet name="TeamStats" sheetId="1" r:id="rId1"/>
  </sheets>
  <definedNames>
    <definedName name="_xlnm._FilterDatabase" localSheetId="0" hidden="1">TeamStats!$A$1:$AC$45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" i="1" l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</calcChain>
</file>

<file path=xl/sharedStrings.xml><?xml version="1.0" encoding="utf-8"?>
<sst xmlns="http://schemas.openxmlformats.org/spreadsheetml/2006/main" count="202" uniqueCount="126">
  <si>
    <t>Date</t>
  </si>
  <si>
    <t>Match</t>
  </si>
  <si>
    <t>Competition</t>
  </si>
  <si>
    <t>Duration</t>
  </si>
  <si>
    <t>Scheme</t>
  </si>
  <si>
    <t>Goals</t>
  </si>
  <si>
    <t>xG</t>
  </si>
  <si>
    <t>Shots / on target</t>
  </si>
  <si>
    <t/>
  </si>
  <si>
    <t>Passes / accurate</t>
  </si>
  <si>
    <t>Possession, %</t>
  </si>
  <si>
    <t>Losses / Low / Medium / High</t>
  </si>
  <si>
    <t>Recoveries / Low / Medium / High</t>
  </si>
  <si>
    <t>Duels / won</t>
  </si>
  <si>
    <t>Passes to final third / accurate</t>
  </si>
  <si>
    <t>PPDA</t>
  </si>
  <si>
    <t>Liverpool</t>
  </si>
  <si>
    <t>2026-02-11</t>
  </si>
  <si>
    <t>Sunderland - Liverpool 0:1</t>
  </si>
  <si>
    <t>England. Premier League</t>
  </si>
  <si>
    <t>4-2-3-1 (100.0%)</t>
  </si>
  <si>
    <t>2026-02-08</t>
  </si>
  <si>
    <t>Liverpool - Manchester City 1:2</t>
  </si>
  <si>
    <t>4-2-3-1 (98.61%)</t>
  </si>
  <si>
    <t>2026-01-31</t>
  </si>
  <si>
    <t>Liverpool - Newcastle United 4:1</t>
  </si>
  <si>
    <t>2026-01-28</t>
  </si>
  <si>
    <t>Liverpool - Qarabag 6:0</t>
  </si>
  <si>
    <t>Europe. UEFA Champions League</t>
  </si>
  <si>
    <t>4-3-3 (100.0%)</t>
  </si>
  <si>
    <t>2026-01-24</t>
  </si>
  <si>
    <t>Bournemouth - Liverpool 3:2</t>
  </si>
  <si>
    <t>4-2-2-2 (61.81%)</t>
  </si>
  <si>
    <t>2026-01-21</t>
  </si>
  <si>
    <t>Olympique Marseille - Liverpool 0:3</t>
  </si>
  <si>
    <t>4-3-1-2 (100.0%)</t>
  </si>
  <si>
    <t>2026-01-17</t>
  </si>
  <si>
    <t>Liverpool - Burnley 1:1</t>
  </si>
  <si>
    <t>2026-01-12</t>
  </si>
  <si>
    <t>Liverpool - Barnsley 4:1</t>
  </si>
  <si>
    <t>England. FA Cup</t>
  </si>
  <si>
    <t>2026-01-08</t>
  </si>
  <si>
    <t>Arsenal - Liverpool 0:0</t>
  </si>
  <si>
    <t>2026-01-04</t>
  </si>
  <si>
    <t>Fulham - Liverpool 2:2</t>
  </si>
  <si>
    <t>2026-01-01</t>
  </si>
  <si>
    <t>Liverpool - Leeds United 0:0</t>
  </si>
  <si>
    <t>2025-12-27</t>
  </si>
  <si>
    <t>Liverpool - Wolverhampton Wanderers 2:1</t>
  </si>
  <si>
    <t>2025-12-20</t>
  </si>
  <si>
    <t>Tottenham Hotspur - Liverpool 1:2</t>
  </si>
  <si>
    <t>2025-12-13</t>
  </si>
  <si>
    <t>Liverpool - Brighton 2:0</t>
  </si>
  <si>
    <t>2025-12-09</t>
  </si>
  <si>
    <t>Internazionale - Liverpool 0:1</t>
  </si>
  <si>
    <t>4-3-1-2 (71.88%)</t>
  </si>
  <si>
    <t>2025-12-06</t>
  </si>
  <si>
    <t>Leeds United - Liverpool 3:3</t>
  </si>
  <si>
    <t>2025-12-03</t>
  </si>
  <si>
    <t>Liverpool - Sunderland 1:1</t>
  </si>
  <si>
    <t>4-2-3-1 (46.67%)</t>
  </si>
  <si>
    <t>2025-11-30</t>
  </si>
  <si>
    <t>West Ham United - Liverpool 0:2</t>
  </si>
  <si>
    <t>2025-11-26</t>
  </si>
  <si>
    <t>Liverpool - PSV 1:4</t>
  </si>
  <si>
    <t>4-2-3-1 (80.96%)</t>
  </si>
  <si>
    <t>2025-11-22</t>
  </si>
  <si>
    <t>Liverpool - Nottingham Forest 0:3</t>
  </si>
  <si>
    <t>4-3-3 (59.92%)</t>
  </si>
  <si>
    <t>2025-11-09</t>
  </si>
  <si>
    <t>Manchester City - Liverpool 3:0</t>
  </si>
  <si>
    <t>2025-11-04</t>
  </si>
  <si>
    <t>Liverpool - Real Madrid 1:0</t>
  </si>
  <si>
    <t>2025-11-01</t>
  </si>
  <si>
    <t>Liverpool - Aston Villa 2:0</t>
  </si>
  <si>
    <t>2025-10-29</t>
  </si>
  <si>
    <t>Liverpool - Crystal Palace 0:3</t>
  </si>
  <si>
    <t>England. Carabao Cup</t>
  </si>
  <si>
    <t>5-4-1 (86.11%)</t>
  </si>
  <si>
    <t>2025-10-25</t>
  </si>
  <si>
    <t>Brentford - Liverpool 3:2</t>
  </si>
  <si>
    <t>4-2-3-1 (62.27%)</t>
  </si>
  <si>
    <t>2025-10-22</t>
  </si>
  <si>
    <t>Eintracht Frankfurt - Liverpool 1:5</t>
  </si>
  <si>
    <t>2025-10-19</t>
  </si>
  <si>
    <t>Liverpool - Manchester United 1:2</t>
  </si>
  <si>
    <t>2025-10-04</t>
  </si>
  <si>
    <t>Chelsea - Liverpool 2:1</t>
  </si>
  <si>
    <t>2025-09-30</t>
  </si>
  <si>
    <t>Galatasaray - Liverpool 1:0</t>
  </si>
  <si>
    <t>4-2-3-1 (70.77%)</t>
  </si>
  <si>
    <t>2025-09-27</t>
  </si>
  <si>
    <t>Crystal Palace - Liverpool 2:1</t>
  </si>
  <si>
    <t>2025-09-23</t>
  </si>
  <si>
    <t>Liverpool - Southampton 2:1</t>
  </si>
  <si>
    <t>4-2-3-1 (89.01%)</t>
  </si>
  <si>
    <t>2025-09-20</t>
  </si>
  <si>
    <t>Liverpool - Everton 2:1</t>
  </si>
  <si>
    <t>2025-09-17</t>
  </si>
  <si>
    <t>Liverpool - Atlético Madrid 3:2</t>
  </si>
  <si>
    <t>2025-09-14</t>
  </si>
  <si>
    <t>Burnley - Liverpool 0:1</t>
  </si>
  <si>
    <t>2025-08-31</t>
  </si>
  <si>
    <t>Liverpool - Arsenal 1:0</t>
  </si>
  <si>
    <t>4-2-3-1 (90.23%)</t>
  </si>
  <si>
    <t>2025-08-25</t>
  </si>
  <si>
    <t>Newcastle United - Liverpool 2:3</t>
  </si>
  <si>
    <t>4-2-3-1 (78.04%)</t>
  </si>
  <si>
    <t>2025-08-15</t>
  </si>
  <si>
    <t>Liverpool - Bournemouth 4:2</t>
  </si>
  <si>
    <t>2025-08-10</t>
  </si>
  <si>
    <t>Crystal Palace - Liverpool (P) 2:2</t>
  </si>
  <si>
    <t>England. Community Shield</t>
  </si>
  <si>
    <t>4-2-3-1 (75.44%)</t>
  </si>
  <si>
    <t>2025-08-04</t>
  </si>
  <si>
    <t>Liverpool - Athletic Bilbao 3:2</t>
  </si>
  <si>
    <t>World. Club Friendlies</t>
  </si>
  <si>
    <t>4-2-3-1 (78.51%)</t>
  </si>
  <si>
    <t>Liverpool - Athletic Bilbao 4:1</t>
  </si>
  <si>
    <t>2025-07-30</t>
  </si>
  <si>
    <t>Yokohama F. Marinos - Liverpool 1:3</t>
  </si>
  <si>
    <t>World. J.League World Challenge</t>
  </si>
  <si>
    <t>2025-07-26</t>
  </si>
  <si>
    <t>Liverpool - Milan 2:4</t>
  </si>
  <si>
    <t>2025-07-13</t>
  </si>
  <si>
    <t>Preston North End - Liverpool 1:3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</si>
</sst>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5"/>
  <sheetViews>
    <sheetView tabSelected="1" showOutlineSymbols="0" showWhiteSpace="0" workbookViewId="0">
      <selection activeCell="C14" sqref="C14"/>
    </sheetView>
  </sheetViews>
  <sheetFormatPr baseColWidth="10" defaultColWidth="9" defaultRowHeight="14.25" x14ac:dyDescent="0.2"/>
  <cols>
    <col min="1" max="1" width="11.875" bestFit="1" customWidth="1"/>
    <col min="2" max="2" width="31.75" bestFit="1" customWidth="1"/>
    <col min="3" max="3" width="26.25" bestFit="1" customWidth="1"/>
    <col min="4" max="4" width="7.5" bestFit="1" customWidth="1"/>
    <col min="5" max="5" width="14.125" bestFit="1" customWidth="1"/>
    <col min="6" max="6" width="5.25" bestFit="1" customWidth="1"/>
    <col min="7" max="7" width="6.375" bestFit="1" customWidth="1"/>
    <col min="8" max="8" width="15.25" bestFit="1" customWidth="1"/>
    <col min="9" max="9" width="6.375" bestFit="1" customWidth="1"/>
    <col min="10" max="10" width="7.5" bestFit="1" customWidth="1"/>
    <col min="11" max="11" width="10.75" bestFit="1" customWidth="1"/>
    <col min="12" max="13" width="7.5" bestFit="1" customWidth="1"/>
    <col min="14" max="14" width="11.875" bestFit="1" customWidth="1"/>
    <col min="15" max="15" width="26.25" bestFit="1" customWidth="1"/>
    <col min="16" max="18" width="6.375" bestFit="1" customWidth="1"/>
    <col min="19" max="19" width="30.625" bestFit="1" customWidth="1"/>
    <col min="20" max="22" width="6.375" bestFit="1" customWidth="1"/>
    <col min="23" max="23" width="13" bestFit="1" customWidth="1"/>
    <col min="24" max="25" width="7.5" bestFit="1" customWidth="1"/>
    <col min="26" max="26" width="18.5" bestFit="1" customWidth="1"/>
    <col min="27" max="27" width="6.375" bestFit="1" customWidth="1"/>
    <col min="28" max="29" width="7.5" bestFit="1" customWidth="1"/>
  </cols>
  <sheetData>
    <row r="1" spans="1:29" ht="56.1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2" t="s">
        <v>8</v>
      </c>
      <c r="J1" s="2" t="s">
        <v>8</v>
      </c>
      <c r="K1" s="2" t="s">
        <v>9</v>
      </c>
      <c r="L1" s="2" t="s">
        <v>8</v>
      </c>
      <c r="M1" s="2" t="s">
        <v>8</v>
      </c>
      <c r="N1" t="s">
        <v>10</v>
      </c>
      <c r="O1" s="2" t="s">
        <v>11</v>
      </c>
      <c r="P1" s="2" t="s">
        <v>8</v>
      </c>
      <c r="Q1" s="2" t="s">
        <v>8</v>
      </c>
      <c r="R1" s="2" t="s">
        <v>8</v>
      </c>
      <c r="S1" s="2" t="s">
        <v>12</v>
      </c>
      <c r="T1" s="2" t="s">
        <v>8</v>
      </c>
      <c r="U1" s="2" t="s">
        <v>8</v>
      </c>
      <c r="V1" s="2" t="s">
        <v>8</v>
      </c>
      <c r="W1" s="2" t="s">
        <v>13</v>
      </c>
      <c r="X1" s="2" t="s">
        <v>8</v>
      </c>
      <c r="Y1" s="2" t="s">
        <v>8</v>
      </c>
      <c r="Z1" s="2" t="s">
        <v>14</v>
      </c>
      <c r="AA1" s="2" t="s">
        <v>8</v>
      </c>
      <c r="AB1" s="2" t="s">
        <v>8</v>
      </c>
      <c r="AC1" t="s">
        <v>15</v>
      </c>
    </row>
    <row r="2" spans="1:29" x14ac:dyDescent="0.2">
      <c r="A2" s="1" t="s">
        <v>16</v>
      </c>
      <c r="B2" s="1"/>
      <c r="C2" s="1"/>
      <c r="D2" s="1"/>
      <c r="E2" s="1"/>
      <c r="F2" s="1">
        <f>AVERAGE(F3:F45)</f>
        <v>1.9534883720930232</v>
      </c>
      <c r="G2" s="1">
        <f>AVERAGE(G3:G45)</f>
        <v>1.8593023255813952</v>
      </c>
      <c r="H2" s="1">
        <f>AVERAGE(H3:H45)</f>
        <v>15.44186046511628</v>
      </c>
      <c r="I2" s="1">
        <f>AVERAGE(I3:I45)</f>
        <v>5.2325581395348841</v>
      </c>
      <c r="J2" s="1">
        <f>IFERROR(SUM(I3:I45)/SUM(H3:H45)*100,0)</f>
        <v>33.885542168674696</v>
      </c>
      <c r="K2" s="1">
        <f>AVERAGE(K3:K45)</f>
        <v>551.02325581395348</v>
      </c>
      <c r="L2" s="1">
        <f>AVERAGE(L3:L45)</f>
        <v>480.16279069767444</v>
      </c>
      <c r="M2" s="1">
        <f>IFERROR(SUM(L3:L45)/SUM(K3:K45)*100,0)</f>
        <v>87.140204271123494</v>
      </c>
      <c r="N2" s="1">
        <f t="shared" ref="N2:X2" si="0">AVERAGE(N3:N45)</f>
        <v>59.215116279069768</v>
      </c>
      <c r="O2" s="1">
        <f t="shared" si="0"/>
        <v>104.3953488372093</v>
      </c>
      <c r="P2" s="1">
        <f t="shared" si="0"/>
        <v>18.209302325581394</v>
      </c>
      <c r="Q2" s="1">
        <f t="shared" si="0"/>
        <v>33.930232558139537</v>
      </c>
      <c r="R2" s="1">
        <f t="shared" si="0"/>
        <v>52.255813953488371</v>
      </c>
      <c r="S2" s="1">
        <f t="shared" si="0"/>
        <v>79.813953488372093</v>
      </c>
      <c r="T2" s="1">
        <f t="shared" si="0"/>
        <v>30.953488372093023</v>
      </c>
      <c r="U2" s="1">
        <f t="shared" si="0"/>
        <v>32.232558139534881</v>
      </c>
      <c r="V2" s="1">
        <f t="shared" si="0"/>
        <v>16.627906976744185</v>
      </c>
      <c r="W2" s="1">
        <f t="shared" si="0"/>
        <v>171.88372093023256</v>
      </c>
      <c r="X2" s="1">
        <f t="shared" si="0"/>
        <v>83.651162790697668</v>
      </c>
      <c r="Y2" s="1">
        <f>IFERROR(SUM(X3:X45)/SUM(W3:W45)*100,0)</f>
        <v>48.667298065214446</v>
      </c>
      <c r="Z2" s="1">
        <f>AVERAGE(Z3:Z45)</f>
        <v>67.348837209302332</v>
      </c>
      <c r="AA2" s="1">
        <f>AVERAGE(AA3:AA45)</f>
        <v>52.767441860465119</v>
      </c>
      <c r="AB2" s="1">
        <f>IFERROR(SUM(AA3:AA45)/SUM(Z3:Z45)*100,0)</f>
        <v>78.349447513812152</v>
      </c>
      <c r="AC2" s="1">
        <f>AVERAGE(AC3:AC45)</f>
        <v>10.950697674418603</v>
      </c>
    </row>
    <row r="3" spans="1:29" ht="12" customHeight="1" x14ac:dyDescent="0.2">
      <c r="A3" t="s">
        <v>17</v>
      </c>
      <c r="B3" t="s">
        <v>18</v>
      </c>
      <c r="C3" t="s">
        <v>19</v>
      </c>
      <c r="D3">
        <v>98</v>
      </c>
      <c r="E3" t="s">
        <v>20</v>
      </c>
      <c r="F3">
        <v>1</v>
      </c>
      <c r="G3">
        <v>2.75</v>
      </c>
      <c r="H3">
        <v>22</v>
      </c>
      <c r="I3">
        <v>3</v>
      </c>
      <c r="J3">
        <v>13.64</v>
      </c>
      <c r="K3">
        <v>501</v>
      </c>
      <c r="L3">
        <v>425</v>
      </c>
      <c r="M3">
        <v>84.83</v>
      </c>
      <c r="N3">
        <v>49.27</v>
      </c>
      <c r="O3">
        <v>120</v>
      </c>
      <c r="P3">
        <v>22</v>
      </c>
      <c r="Q3">
        <v>44</v>
      </c>
      <c r="R3">
        <v>54</v>
      </c>
      <c r="S3">
        <v>105</v>
      </c>
      <c r="T3">
        <v>39</v>
      </c>
      <c r="U3">
        <v>47</v>
      </c>
      <c r="V3">
        <v>19</v>
      </c>
      <c r="W3">
        <v>180</v>
      </c>
      <c r="X3">
        <v>96</v>
      </c>
      <c r="Y3">
        <v>53.33</v>
      </c>
      <c r="Z3">
        <v>62</v>
      </c>
      <c r="AA3">
        <v>48</v>
      </c>
      <c r="AB3">
        <v>77.42</v>
      </c>
      <c r="AC3">
        <v>10.15</v>
      </c>
    </row>
    <row r="4" spans="1:29" ht="12" customHeight="1" x14ac:dyDescent="0.2">
      <c r="A4" t="s">
        <v>21</v>
      </c>
      <c r="B4" t="s">
        <v>22</v>
      </c>
      <c r="C4" t="s">
        <v>19</v>
      </c>
      <c r="D4">
        <v>107</v>
      </c>
      <c r="E4" t="s">
        <v>23</v>
      </c>
      <c r="F4">
        <v>1</v>
      </c>
      <c r="G4">
        <v>0.98</v>
      </c>
      <c r="H4">
        <v>13</v>
      </c>
      <c r="I4">
        <v>3</v>
      </c>
      <c r="J4">
        <v>23.08</v>
      </c>
      <c r="K4">
        <v>386</v>
      </c>
      <c r="L4">
        <v>300</v>
      </c>
      <c r="M4">
        <v>77.72</v>
      </c>
      <c r="N4">
        <v>45.16</v>
      </c>
      <c r="O4">
        <v>117</v>
      </c>
      <c r="P4">
        <v>14</v>
      </c>
      <c r="Q4">
        <v>53</v>
      </c>
      <c r="R4">
        <v>50</v>
      </c>
      <c r="S4">
        <v>88</v>
      </c>
      <c r="T4">
        <v>35</v>
      </c>
      <c r="U4">
        <v>32</v>
      </c>
      <c r="V4">
        <v>21</v>
      </c>
      <c r="W4">
        <v>187</v>
      </c>
      <c r="X4">
        <v>85</v>
      </c>
      <c r="Y4">
        <v>45.45</v>
      </c>
      <c r="Z4">
        <v>47</v>
      </c>
      <c r="AA4">
        <v>31</v>
      </c>
      <c r="AB4">
        <v>65.959999999999994</v>
      </c>
      <c r="AC4">
        <v>19.07</v>
      </c>
    </row>
    <row r="5" spans="1:29" ht="12" customHeight="1" x14ac:dyDescent="0.2">
      <c r="A5" t="s">
        <v>24</v>
      </c>
      <c r="B5" t="s">
        <v>25</v>
      </c>
      <c r="C5" t="s">
        <v>19</v>
      </c>
      <c r="D5">
        <v>101</v>
      </c>
      <c r="E5" t="s">
        <v>20</v>
      </c>
      <c r="F5">
        <v>4</v>
      </c>
      <c r="G5">
        <v>2.09</v>
      </c>
      <c r="H5">
        <v>16</v>
      </c>
      <c r="I5">
        <v>7</v>
      </c>
      <c r="J5">
        <v>43.75</v>
      </c>
      <c r="K5">
        <v>414</v>
      </c>
      <c r="L5">
        <v>343</v>
      </c>
      <c r="M5">
        <v>82.85</v>
      </c>
      <c r="N5">
        <v>51.44</v>
      </c>
      <c r="O5">
        <v>105</v>
      </c>
      <c r="P5">
        <v>17</v>
      </c>
      <c r="Q5">
        <v>28</v>
      </c>
      <c r="R5">
        <v>60</v>
      </c>
      <c r="S5">
        <v>75</v>
      </c>
      <c r="T5">
        <v>31</v>
      </c>
      <c r="U5">
        <v>27</v>
      </c>
      <c r="V5">
        <v>17</v>
      </c>
      <c r="W5">
        <v>187</v>
      </c>
      <c r="X5">
        <v>95</v>
      </c>
      <c r="Y5">
        <v>50.8</v>
      </c>
      <c r="Z5">
        <v>68</v>
      </c>
      <c r="AA5">
        <v>51</v>
      </c>
      <c r="AB5">
        <v>75</v>
      </c>
      <c r="AC5">
        <v>8.92</v>
      </c>
    </row>
    <row r="6" spans="1:29" ht="12" customHeight="1" x14ac:dyDescent="0.2">
      <c r="A6" t="s">
        <v>26</v>
      </c>
      <c r="B6" t="s">
        <v>27</v>
      </c>
      <c r="C6" t="s">
        <v>28</v>
      </c>
      <c r="D6">
        <v>94</v>
      </c>
      <c r="E6" t="s">
        <v>29</v>
      </c>
      <c r="F6">
        <v>6</v>
      </c>
      <c r="G6">
        <v>5.73</v>
      </c>
      <c r="H6">
        <v>35</v>
      </c>
      <c r="I6">
        <v>12</v>
      </c>
      <c r="J6">
        <v>34.29</v>
      </c>
      <c r="K6">
        <v>503</v>
      </c>
      <c r="L6">
        <v>448</v>
      </c>
      <c r="M6">
        <v>89.07</v>
      </c>
      <c r="N6">
        <v>55.69</v>
      </c>
      <c r="O6">
        <v>84</v>
      </c>
      <c r="P6">
        <v>9</v>
      </c>
      <c r="Q6">
        <v>21</v>
      </c>
      <c r="R6">
        <v>54</v>
      </c>
      <c r="S6">
        <v>95</v>
      </c>
      <c r="T6">
        <v>22</v>
      </c>
      <c r="U6">
        <v>45</v>
      </c>
      <c r="V6">
        <v>28</v>
      </c>
      <c r="W6">
        <v>174</v>
      </c>
      <c r="X6">
        <v>83</v>
      </c>
      <c r="Y6">
        <v>47.7</v>
      </c>
      <c r="Z6">
        <v>67</v>
      </c>
      <c r="AA6">
        <v>53</v>
      </c>
      <c r="AB6">
        <v>79.099999999999994</v>
      </c>
      <c r="AC6">
        <v>6.27</v>
      </c>
    </row>
    <row r="7" spans="1:29" ht="12" customHeight="1" x14ac:dyDescent="0.2">
      <c r="A7" t="s">
        <v>30</v>
      </c>
      <c r="B7" t="s">
        <v>31</v>
      </c>
      <c r="C7" t="s">
        <v>19</v>
      </c>
      <c r="D7">
        <v>100</v>
      </c>
      <c r="E7" t="s">
        <v>32</v>
      </c>
      <c r="F7">
        <v>2</v>
      </c>
      <c r="G7">
        <v>1.18</v>
      </c>
      <c r="H7">
        <v>14</v>
      </c>
      <c r="I7">
        <v>4</v>
      </c>
      <c r="J7">
        <v>28.57</v>
      </c>
      <c r="K7">
        <v>601</v>
      </c>
      <c r="L7">
        <v>525</v>
      </c>
      <c r="M7">
        <v>87.35</v>
      </c>
      <c r="N7">
        <v>66.38</v>
      </c>
      <c r="O7">
        <v>93</v>
      </c>
      <c r="P7">
        <v>13</v>
      </c>
      <c r="Q7">
        <v>19</v>
      </c>
      <c r="R7">
        <v>61</v>
      </c>
      <c r="S7">
        <v>76</v>
      </c>
      <c r="T7">
        <v>32</v>
      </c>
      <c r="U7">
        <v>31</v>
      </c>
      <c r="V7">
        <v>13</v>
      </c>
      <c r="W7">
        <v>159</v>
      </c>
      <c r="X7">
        <v>66</v>
      </c>
      <c r="Y7">
        <v>41.51</v>
      </c>
      <c r="Z7">
        <v>83</v>
      </c>
      <c r="AA7">
        <v>58</v>
      </c>
      <c r="AB7">
        <v>69.88</v>
      </c>
      <c r="AC7">
        <v>12.78</v>
      </c>
    </row>
    <row r="8" spans="1:29" ht="12" customHeight="1" x14ac:dyDescent="0.2">
      <c r="A8" t="s">
        <v>33</v>
      </c>
      <c r="B8" t="s">
        <v>34</v>
      </c>
      <c r="C8" t="s">
        <v>28</v>
      </c>
      <c r="D8">
        <v>95</v>
      </c>
      <c r="E8" t="s">
        <v>35</v>
      </c>
      <c r="F8">
        <v>3</v>
      </c>
      <c r="G8">
        <v>1.52</v>
      </c>
      <c r="H8">
        <v>11</v>
      </c>
      <c r="I8">
        <v>3</v>
      </c>
      <c r="J8">
        <v>27.27</v>
      </c>
      <c r="K8">
        <v>412</v>
      </c>
      <c r="L8">
        <v>353</v>
      </c>
      <c r="M8">
        <v>85.68</v>
      </c>
      <c r="N8">
        <v>40.770000000000003</v>
      </c>
      <c r="O8">
        <v>90</v>
      </c>
      <c r="P8">
        <v>19</v>
      </c>
      <c r="Q8">
        <v>28</v>
      </c>
      <c r="R8">
        <v>43</v>
      </c>
      <c r="S8">
        <v>68</v>
      </c>
      <c r="T8">
        <v>35</v>
      </c>
      <c r="U8">
        <v>20</v>
      </c>
      <c r="V8">
        <v>13</v>
      </c>
      <c r="W8">
        <v>136</v>
      </c>
      <c r="X8">
        <v>72</v>
      </c>
      <c r="Y8">
        <v>52.94</v>
      </c>
      <c r="Z8">
        <v>55</v>
      </c>
      <c r="AA8">
        <v>45</v>
      </c>
      <c r="AB8">
        <v>81.819999999999993</v>
      </c>
      <c r="AC8">
        <v>17.7</v>
      </c>
    </row>
    <row r="9" spans="1:29" ht="12" customHeight="1" x14ac:dyDescent="0.2">
      <c r="A9" t="s">
        <v>36</v>
      </c>
      <c r="B9" t="s">
        <v>37</v>
      </c>
      <c r="C9" t="s">
        <v>19</v>
      </c>
      <c r="D9">
        <v>100</v>
      </c>
      <c r="E9" t="s">
        <v>20</v>
      </c>
      <c r="F9">
        <v>1</v>
      </c>
      <c r="G9">
        <v>2.98</v>
      </c>
      <c r="H9">
        <v>32</v>
      </c>
      <c r="I9">
        <v>10</v>
      </c>
      <c r="J9">
        <v>31.25</v>
      </c>
      <c r="K9">
        <v>724</v>
      </c>
      <c r="L9">
        <v>644</v>
      </c>
      <c r="M9">
        <v>88.95</v>
      </c>
      <c r="N9">
        <v>71.150000000000006</v>
      </c>
      <c r="O9">
        <v>121</v>
      </c>
      <c r="P9">
        <v>11</v>
      </c>
      <c r="Q9">
        <v>33</v>
      </c>
      <c r="R9">
        <v>77</v>
      </c>
      <c r="S9">
        <v>104</v>
      </c>
      <c r="T9">
        <v>26</v>
      </c>
      <c r="U9">
        <v>46</v>
      </c>
      <c r="V9">
        <v>32</v>
      </c>
      <c r="W9">
        <v>205</v>
      </c>
      <c r="X9">
        <v>101</v>
      </c>
      <c r="Y9">
        <v>49.27</v>
      </c>
      <c r="Z9">
        <v>81</v>
      </c>
      <c r="AA9">
        <v>69</v>
      </c>
      <c r="AB9">
        <v>85.19</v>
      </c>
      <c r="AC9">
        <v>8</v>
      </c>
    </row>
    <row r="10" spans="1:29" ht="12" customHeight="1" x14ac:dyDescent="0.2">
      <c r="A10" t="s">
        <v>38</v>
      </c>
      <c r="B10" t="s">
        <v>39</v>
      </c>
      <c r="C10" t="s">
        <v>40</v>
      </c>
      <c r="D10">
        <v>97</v>
      </c>
      <c r="E10" t="s">
        <v>20</v>
      </c>
      <c r="F10">
        <v>4</v>
      </c>
      <c r="G10">
        <v>2.23</v>
      </c>
      <c r="H10">
        <v>20</v>
      </c>
      <c r="I10">
        <v>6</v>
      </c>
      <c r="J10">
        <v>30</v>
      </c>
      <c r="K10">
        <v>726</v>
      </c>
      <c r="L10">
        <v>653</v>
      </c>
      <c r="M10">
        <v>89.94</v>
      </c>
      <c r="N10">
        <v>71.099999999999994</v>
      </c>
      <c r="O10">
        <v>109</v>
      </c>
      <c r="P10">
        <v>16</v>
      </c>
      <c r="Q10">
        <v>19</v>
      </c>
      <c r="R10">
        <v>74</v>
      </c>
      <c r="S10">
        <v>79</v>
      </c>
      <c r="T10">
        <v>22</v>
      </c>
      <c r="U10">
        <v>24</v>
      </c>
      <c r="V10">
        <v>33</v>
      </c>
      <c r="W10">
        <v>157</v>
      </c>
      <c r="X10">
        <v>77</v>
      </c>
      <c r="Y10">
        <v>49.04</v>
      </c>
      <c r="Z10">
        <v>78</v>
      </c>
      <c r="AA10">
        <v>64</v>
      </c>
      <c r="AB10">
        <v>82.05</v>
      </c>
      <c r="AC10">
        <v>8</v>
      </c>
    </row>
    <row r="11" spans="1:29" ht="12" customHeight="1" x14ac:dyDescent="0.2">
      <c r="A11" t="s">
        <v>41</v>
      </c>
      <c r="B11" t="s">
        <v>42</v>
      </c>
      <c r="C11" t="s">
        <v>19</v>
      </c>
      <c r="D11">
        <v>99</v>
      </c>
      <c r="E11" t="s">
        <v>20</v>
      </c>
      <c r="F11">
        <v>0</v>
      </c>
      <c r="G11">
        <v>0.08</v>
      </c>
      <c r="H11">
        <v>7</v>
      </c>
      <c r="I11">
        <v>0</v>
      </c>
      <c r="J11">
        <v>0</v>
      </c>
      <c r="K11">
        <v>520</v>
      </c>
      <c r="L11">
        <v>459</v>
      </c>
      <c r="M11">
        <v>88.27</v>
      </c>
      <c r="N11">
        <v>46.72</v>
      </c>
      <c r="O11">
        <v>91</v>
      </c>
      <c r="P11">
        <v>27</v>
      </c>
      <c r="Q11">
        <v>27</v>
      </c>
      <c r="R11">
        <v>37</v>
      </c>
      <c r="S11">
        <v>62</v>
      </c>
      <c r="T11">
        <v>36</v>
      </c>
      <c r="U11">
        <v>20</v>
      </c>
      <c r="V11">
        <v>6</v>
      </c>
      <c r="W11">
        <v>142</v>
      </c>
      <c r="X11">
        <v>63</v>
      </c>
      <c r="Y11">
        <v>44.37</v>
      </c>
      <c r="Z11">
        <v>73</v>
      </c>
      <c r="AA11">
        <v>62</v>
      </c>
      <c r="AB11">
        <v>84.93</v>
      </c>
      <c r="AC11">
        <v>20.149999999999999</v>
      </c>
    </row>
    <row r="12" spans="1:29" ht="12" customHeight="1" x14ac:dyDescent="0.2">
      <c r="A12" t="s">
        <v>43</v>
      </c>
      <c r="B12" t="s">
        <v>44</v>
      </c>
      <c r="C12" t="s">
        <v>19</v>
      </c>
      <c r="D12">
        <v>102</v>
      </c>
      <c r="E12" t="s">
        <v>20</v>
      </c>
      <c r="F12">
        <v>2</v>
      </c>
      <c r="G12">
        <v>2.0499999999999998</v>
      </c>
      <c r="H12">
        <v>10</v>
      </c>
      <c r="I12">
        <v>2</v>
      </c>
      <c r="J12">
        <v>20</v>
      </c>
      <c r="K12">
        <v>639</v>
      </c>
      <c r="L12">
        <v>553</v>
      </c>
      <c r="M12">
        <v>86.54</v>
      </c>
      <c r="N12">
        <v>59.41</v>
      </c>
      <c r="O12">
        <v>115</v>
      </c>
      <c r="P12">
        <v>15</v>
      </c>
      <c r="Q12">
        <v>35</v>
      </c>
      <c r="R12">
        <v>65</v>
      </c>
      <c r="S12">
        <v>74</v>
      </c>
      <c r="T12">
        <v>24</v>
      </c>
      <c r="U12">
        <v>33</v>
      </c>
      <c r="V12">
        <v>17</v>
      </c>
      <c r="W12">
        <v>122</v>
      </c>
      <c r="X12">
        <v>62</v>
      </c>
      <c r="Y12">
        <v>50.82</v>
      </c>
      <c r="Z12">
        <v>80</v>
      </c>
      <c r="AA12">
        <v>53</v>
      </c>
      <c r="AB12">
        <v>66.25</v>
      </c>
      <c r="AC12">
        <v>17.79</v>
      </c>
    </row>
    <row r="13" spans="1:29" ht="12" customHeight="1" x14ac:dyDescent="0.2">
      <c r="A13" t="s">
        <v>45</v>
      </c>
      <c r="B13" t="s">
        <v>46</v>
      </c>
      <c r="C13" t="s">
        <v>19</v>
      </c>
      <c r="D13">
        <v>99</v>
      </c>
      <c r="E13" t="s">
        <v>20</v>
      </c>
      <c r="F13">
        <v>0</v>
      </c>
      <c r="G13">
        <v>1.77</v>
      </c>
      <c r="H13">
        <v>16</v>
      </c>
      <c r="I13">
        <v>3</v>
      </c>
      <c r="J13">
        <v>18.75</v>
      </c>
      <c r="K13">
        <v>636</v>
      </c>
      <c r="L13">
        <v>551</v>
      </c>
      <c r="M13">
        <v>86.64</v>
      </c>
      <c r="N13">
        <v>69.14</v>
      </c>
      <c r="O13">
        <v>121</v>
      </c>
      <c r="P13">
        <v>19</v>
      </c>
      <c r="Q13">
        <v>28</v>
      </c>
      <c r="R13">
        <v>74</v>
      </c>
      <c r="S13">
        <v>98</v>
      </c>
      <c r="T13">
        <v>37</v>
      </c>
      <c r="U13">
        <v>37</v>
      </c>
      <c r="V13">
        <v>24</v>
      </c>
      <c r="W13">
        <v>220</v>
      </c>
      <c r="X13">
        <v>110</v>
      </c>
      <c r="Y13">
        <v>50</v>
      </c>
      <c r="Z13">
        <v>89</v>
      </c>
      <c r="AA13">
        <v>67</v>
      </c>
      <c r="AB13">
        <v>75.28</v>
      </c>
      <c r="AC13">
        <v>6.67</v>
      </c>
    </row>
    <row r="14" spans="1:29" ht="12" customHeight="1" x14ac:dyDescent="0.2">
      <c r="A14" t="s">
        <v>47</v>
      </c>
      <c r="B14" t="s">
        <v>48</v>
      </c>
      <c r="C14" t="s">
        <v>19</v>
      </c>
      <c r="D14">
        <v>99</v>
      </c>
      <c r="E14" t="s">
        <v>20</v>
      </c>
      <c r="F14">
        <v>2</v>
      </c>
      <c r="G14">
        <v>1.4</v>
      </c>
      <c r="H14">
        <v>14</v>
      </c>
      <c r="I14">
        <v>4</v>
      </c>
      <c r="J14">
        <v>28.57</v>
      </c>
      <c r="K14">
        <v>643</v>
      </c>
      <c r="L14">
        <v>566</v>
      </c>
      <c r="M14">
        <v>88.02</v>
      </c>
      <c r="N14">
        <v>63.68</v>
      </c>
      <c r="O14">
        <v>108</v>
      </c>
      <c r="P14">
        <v>22</v>
      </c>
      <c r="Q14">
        <v>28</v>
      </c>
      <c r="R14">
        <v>58</v>
      </c>
      <c r="S14">
        <v>95</v>
      </c>
      <c r="T14">
        <v>31</v>
      </c>
      <c r="U14">
        <v>45</v>
      </c>
      <c r="V14">
        <v>19</v>
      </c>
      <c r="W14">
        <v>190</v>
      </c>
      <c r="X14">
        <v>101</v>
      </c>
      <c r="Y14">
        <v>53.16</v>
      </c>
      <c r="Z14">
        <v>101</v>
      </c>
      <c r="AA14">
        <v>92</v>
      </c>
      <c r="AB14">
        <v>91.09</v>
      </c>
      <c r="AC14">
        <v>10.85</v>
      </c>
    </row>
    <row r="15" spans="1:29" ht="12" customHeight="1" x14ac:dyDescent="0.2">
      <c r="A15" t="s">
        <v>49</v>
      </c>
      <c r="B15" t="s">
        <v>50</v>
      </c>
      <c r="C15" t="s">
        <v>19</v>
      </c>
      <c r="D15">
        <v>106</v>
      </c>
      <c r="E15" t="s">
        <v>20</v>
      </c>
      <c r="F15">
        <v>2</v>
      </c>
      <c r="G15">
        <v>0.69</v>
      </c>
      <c r="H15">
        <v>8</v>
      </c>
      <c r="I15">
        <v>4</v>
      </c>
      <c r="J15">
        <v>50</v>
      </c>
      <c r="K15">
        <v>603</v>
      </c>
      <c r="L15">
        <v>529</v>
      </c>
      <c r="M15">
        <v>87.73</v>
      </c>
      <c r="N15">
        <v>61.46</v>
      </c>
      <c r="O15">
        <v>111</v>
      </c>
      <c r="P15">
        <v>25</v>
      </c>
      <c r="Q15">
        <v>31</v>
      </c>
      <c r="R15">
        <v>55</v>
      </c>
      <c r="S15">
        <v>73</v>
      </c>
      <c r="T15">
        <v>30</v>
      </c>
      <c r="U15">
        <v>23</v>
      </c>
      <c r="V15">
        <v>20</v>
      </c>
      <c r="W15">
        <v>154</v>
      </c>
      <c r="X15">
        <v>80</v>
      </c>
      <c r="Y15">
        <v>51.95</v>
      </c>
      <c r="Z15">
        <v>89</v>
      </c>
      <c r="AA15">
        <v>74</v>
      </c>
      <c r="AB15">
        <v>83.15</v>
      </c>
      <c r="AC15">
        <v>9.43</v>
      </c>
    </row>
    <row r="16" spans="1:29" ht="12" customHeight="1" x14ac:dyDescent="0.2">
      <c r="A16" t="s">
        <v>51</v>
      </c>
      <c r="B16" t="s">
        <v>52</v>
      </c>
      <c r="C16" t="s">
        <v>19</v>
      </c>
      <c r="D16">
        <v>103</v>
      </c>
      <c r="E16" t="s">
        <v>20</v>
      </c>
      <c r="F16">
        <v>2</v>
      </c>
      <c r="G16">
        <v>2</v>
      </c>
      <c r="H16">
        <v>18</v>
      </c>
      <c r="I16">
        <v>4</v>
      </c>
      <c r="J16">
        <v>22.22</v>
      </c>
      <c r="K16">
        <v>493</v>
      </c>
      <c r="L16">
        <v>433</v>
      </c>
      <c r="M16">
        <v>87.83</v>
      </c>
      <c r="N16">
        <v>46.73</v>
      </c>
      <c r="O16">
        <v>100</v>
      </c>
      <c r="P16">
        <v>22</v>
      </c>
      <c r="Q16">
        <v>45</v>
      </c>
      <c r="R16">
        <v>33</v>
      </c>
      <c r="S16">
        <v>81</v>
      </c>
      <c r="T16">
        <v>46</v>
      </c>
      <c r="U16">
        <v>26</v>
      </c>
      <c r="V16">
        <v>9</v>
      </c>
      <c r="W16">
        <v>189</v>
      </c>
      <c r="X16">
        <v>114</v>
      </c>
      <c r="Y16">
        <v>60.32</v>
      </c>
      <c r="Z16">
        <v>52</v>
      </c>
      <c r="AA16">
        <v>42</v>
      </c>
      <c r="AB16">
        <v>80.77</v>
      </c>
      <c r="AC16">
        <v>19.63</v>
      </c>
    </row>
    <row r="17" spans="1:29" ht="12" customHeight="1" x14ac:dyDescent="0.2">
      <c r="A17" t="s">
        <v>53</v>
      </c>
      <c r="B17" t="s">
        <v>54</v>
      </c>
      <c r="C17" t="s">
        <v>28</v>
      </c>
      <c r="D17">
        <v>104</v>
      </c>
      <c r="E17" t="s">
        <v>55</v>
      </c>
      <c r="F17">
        <v>1</v>
      </c>
      <c r="G17">
        <v>1.33</v>
      </c>
      <c r="H17">
        <v>11</v>
      </c>
      <c r="I17">
        <v>5</v>
      </c>
      <c r="J17">
        <v>45.45</v>
      </c>
      <c r="K17">
        <v>495</v>
      </c>
      <c r="L17">
        <v>427</v>
      </c>
      <c r="M17">
        <v>86.26</v>
      </c>
      <c r="N17">
        <v>48.29</v>
      </c>
      <c r="O17">
        <v>95</v>
      </c>
      <c r="P17">
        <v>17</v>
      </c>
      <c r="Q17">
        <v>39</v>
      </c>
      <c r="R17">
        <v>39</v>
      </c>
      <c r="S17">
        <v>71</v>
      </c>
      <c r="T17">
        <v>34</v>
      </c>
      <c r="U17">
        <v>21</v>
      </c>
      <c r="V17">
        <v>16</v>
      </c>
      <c r="W17">
        <v>127</v>
      </c>
      <c r="X17">
        <v>60</v>
      </c>
      <c r="Y17">
        <v>47.24</v>
      </c>
      <c r="Z17">
        <v>56</v>
      </c>
      <c r="AA17">
        <v>44</v>
      </c>
      <c r="AB17">
        <v>78.569999999999993</v>
      </c>
      <c r="AC17">
        <v>11.61</v>
      </c>
    </row>
    <row r="18" spans="1:29" ht="12" customHeight="1" x14ac:dyDescent="0.2">
      <c r="A18" t="s">
        <v>56</v>
      </c>
      <c r="B18" t="s">
        <v>57</v>
      </c>
      <c r="C18" t="s">
        <v>19</v>
      </c>
      <c r="D18">
        <v>103</v>
      </c>
      <c r="E18" t="s">
        <v>20</v>
      </c>
      <c r="F18">
        <v>3</v>
      </c>
      <c r="G18">
        <v>1.63</v>
      </c>
      <c r="H18">
        <v>14</v>
      </c>
      <c r="I18">
        <v>6</v>
      </c>
      <c r="J18">
        <v>42.86</v>
      </c>
      <c r="K18">
        <v>473</v>
      </c>
      <c r="L18">
        <v>400</v>
      </c>
      <c r="M18">
        <v>84.57</v>
      </c>
      <c r="N18">
        <v>52.69</v>
      </c>
      <c r="O18">
        <v>106</v>
      </c>
      <c r="P18">
        <v>21</v>
      </c>
      <c r="Q18">
        <v>41</v>
      </c>
      <c r="R18">
        <v>44</v>
      </c>
      <c r="S18">
        <v>80</v>
      </c>
      <c r="T18">
        <v>39</v>
      </c>
      <c r="U18">
        <v>27</v>
      </c>
      <c r="V18">
        <v>14</v>
      </c>
      <c r="W18">
        <v>177</v>
      </c>
      <c r="X18">
        <v>88</v>
      </c>
      <c r="Y18">
        <v>49.72</v>
      </c>
      <c r="Z18">
        <v>55</v>
      </c>
      <c r="AA18">
        <v>41</v>
      </c>
      <c r="AB18">
        <v>74.55</v>
      </c>
      <c r="AC18">
        <v>11.67</v>
      </c>
    </row>
    <row r="19" spans="1:29" ht="12" customHeight="1" x14ac:dyDescent="0.2">
      <c r="A19" t="s">
        <v>58</v>
      </c>
      <c r="B19" t="s">
        <v>59</v>
      </c>
      <c r="C19" t="s">
        <v>19</v>
      </c>
      <c r="D19">
        <v>99</v>
      </c>
      <c r="E19" t="s">
        <v>60</v>
      </c>
      <c r="F19">
        <v>1</v>
      </c>
      <c r="G19">
        <v>1.33</v>
      </c>
      <c r="H19">
        <v>23</v>
      </c>
      <c r="I19">
        <v>4</v>
      </c>
      <c r="J19">
        <v>17.39</v>
      </c>
      <c r="K19">
        <v>640</v>
      </c>
      <c r="L19">
        <v>556</v>
      </c>
      <c r="M19">
        <v>86.88</v>
      </c>
      <c r="N19">
        <v>60.97</v>
      </c>
      <c r="O19">
        <v>118</v>
      </c>
      <c r="P19">
        <v>26</v>
      </c>
      <c r="Q19">
        <v>35</v>
      </c>
      <c r="R19">
        <v>57</v>
      </c>
      <c r="S19">
        <v>100</v>
      </c>
      <c r="T19">
        <v>30</v>
      </c>
      <c r="U19">
        <v>41</v>
      </c>
      <c r="V19">
        <v>29</v>
      </c>
      <c r="W19">
        <v>178</v>
      </c>
      <c r="X19">
        <v>78</v>
      </c>
      <c r="Y19">
        <v>43.82</v>
      </c>
      <c r="Z19">
        <v>79</v>
      </c>
      <c r="AA19">
        <v>65</v>
      </c>
      <c r="AB19">
        <v>82.28</v>
      </c>
      <c r="AC19">
        <v>8.08</v>
      </c>
    </row>
    <row r="20" spans="1:29" ht="12" customHeight="1" x14ac:dyDescent="0.2">
      <c r="A20" t="s">
        <v>61</v>
      </c>
      <c r="B20" t="s">
        <v>62</v>
      </c>
      <c r="C20" t="s">
        <v>19</v>
      </c>
      <c r="D20">
        <v>96</v>
      </c>
      <c r="E20" t="s">
        <v>20</v>
      </c>
      <c r="F20">
        <v>2</v>
      </c>
      <c r="G20">
        <v>1.25</v>
      </c>
      <c r="H20">
        <v>9</v>
      </c>
      <c r="I20">
        <v>5</v>
      </c>
      <c r="J20">
        <v>55.56</v>
      </c>
      <c r="K20">
        <v>495</v>
      </c>
      <c r="L20">
        <v>441</v>
      </c>
      <c r="M20">
        <v>89.09</v>
      </c>
      <c r="N20">
        <v>55.26</v>
      </c>
      <c r="O20">
        <v>102</v>
      </c>
      <c r="P20">
        <v>27</v>
      </c>
      <c r="Q20">
        <v>31</v>
      </c>
      <c r="R20">
        <v>44</v>
      </c>
      <c r="S20">
        <v>73</v>
      </c>
      <c r="T20">
        <v>34</v>
      </c>
      <c r="U20">
        <v>32</v>
      </c>
      <c r="V20">
        <v>7</v>
      </c>
      <c r="W20">
        <v>184</v>
      </c>
      <c r="X20">
        <v>93</v>
      </c>
      <c r="Y20">
        <v>50.54</v>
      </c>
      <c r="Z20">
        <v>50</v>
      </c>
      <c r="AA20">
        <v>38</v>
      </c>
      <c r="AB20">
        <v>76</v>
      </c>
      <c r="AC20">
        <v>7.77</v>
      </c>
    </row>
    <row r="21" spans="1:29" ht="12" customHeight="1" x14ac:dyDescent="0.2">
      <c r="A21" t="s">
        <v>63</v>
      </c>
      <c r="B21" t="s">
        <v>64</v>
      </c>
      <c r="C21" t="s">
        <v>28</v>
      </c>
      <c r="D21">
        <v>95</v>
      </c>
      <c r="E21" t="s">
        <v>65</v>
      </c>
      <c r="F21">
        <v>1</v>
      </c>
      <c r="G21">
        <v>2.5099999999999998</v>
      </c>
      <c r="H21">
        <v>24</v>
      </c>
      <c r="I21">
        <v>8</v>
      </c>
      <c r="J21">
        <v>33.33</v>
      </c>
      <c r="K21">
        <v>571</v>
      </c>
      <c r="L21">
        <v>508</v>
      </c>
      <c r="M21">
        <v>88.97</v>
      </c>
      <c r="N21">
        <v>62.4</v>
      </c>
      <c r="O21">
        <v>93</v>
      </c>
      <c r="P21">
        <v>8</v>
      </c>
      <c r="Q21">
        <v>26</v>
      </c>
      <c r="R21">
        <v>59</v>
      </c>
      <c r="S21">
        <v>68</v>
      </c>
      <c r="T21">
        <v>16</v>
      </c>
      <c r="U21">
        <v>30</v>
      </c>
      <c r="V21">
        <v>22</v>
      </c>
      <c r="W21">
        <v>176</v>
      </c>
      <c r="X21">
        <v>91</v>
      </c>
      <c r="Y21">
        <v>51.7</v>
      </c>
      <c r="Z21">
        <v>71</v>
      </c>
      <c r="AA21">
        <v>63</v>
      </c>
      <c r="AB21">
        <v>88.73</v>
      </c>
      <c r="AC21">
        <v>7.19</v>
      </c>
    </row>
    <row r="22" spans="1:29" ht="12" customHeight="1" x14ac:dyDescent="0.2">
      <c r="A22" t="s">
        <v>66</v>
      </c>
      <c r="B22" t="s">
        <v>67</v>
      </c>
      <c r="C22" t="s">
        <v>19</v>
      </c>
      <c r="D22">
        <v>100</v>
      </c>
      <c r="E22" t="s">
        <v>68</v>
      </c>
      <c r="F22">
        <v>0</v>
      </c>
      <c r="G22">
        <v>1.55</v>
      </c>
      <c r="H22">
        <v>21</v>
      </c>
      <c r="I22">
        <v>4</v>
      </c>
      <c r="J22">
        <v>19.05</v>
      </c>
      <c r="K22">
        <v>637</v>
      </c>
      <c r="L22">
        <v>555</v>
      </c>
      <c r="M22">
        <v>87.13</v>
      </c>
      <c r="N22">
        <v>72</v>
      </c>
      <c r="O22">
        <v>122</v>
      </c>
      <c r="P22">
        <v>12</v>
      </c>
      <c r="Q22">
        <v>37</v>
      </c>
      <c r="R22">
        <v>73</v>
      </c>
      <c r="S22">
        <v>85</v>
      </c>
      <c r="T22">
        <v>17</v>
      </c>
      <c r="U22">
        <v>39</v>
      </c>
      <c r="V22">
        <v>29</v>
      </c>
      <c r="W22">
        <v>193</v>
      </c>
      <c r="X22">
        <v>97</v>
      </c>
      <c r="Y22">
        <v>50.26</v>
      </c>
      <c r="Z22">
        <v>74</v>
      </c>
      <c r="AA22">
        <v>61</v>
      </c>
      <c r="AB22">
        <v>82.43</v>
      </c>
      <c r="AC22">
        <v>4.7300000000000004</v>
      </c>
    </row>
    <row r="23" spans="1:29" ht="12" customHeight="1" x14ac:dyDescent="0.2">
      <c r="A23" t="s">
        <v>69</v>
      </c>
      <c r="B23" t="s">
        <v>70</v>
      </c>
      <c r="C23" t="s">
        <v>19</v>
      </c>
      <c r="D23">
        <v>100</v>
      </c>
      <c r="E23" t="s">
        <v>20</v>
      </c>
      <c r="F23">
        <v>0</v>
      </c>
      <c r="G23">
        <v>0.81</v>
      </c>
      <c r="H23">
        <v>7</v>
      </c>
      <c r="I23">
        <v>1</v>
      </c>
      <c r="J23">
        <v>14.29</v>
      </c>
      <c r="K23">
        <v>433</v>
      </c>
      <c r="L23">
        <v>367</v>
      </c>
      <c r="M23">
        <v>84.76</v>
      </c>
      <c r="N23">
        <v>51.39</v>
      </c>
      <c r="O23">
        <v>84</v>
      </c>
      <c r="P23">
        <v>17</v>
      </c>
      <c r="Q23">
        <v>28</v>
      </c>
      <c r="R23">
        <v>39</v>
      </c>
      <c r="S23">
        <v>70</v>
      </c>
      <c r="T23">
        <v>20</v>
      </c>
      <c r="U23">
        <v>28</v>
      </c>
      <c r="V23">
        <v>22</v>
      </c>
      <c r="W23">
        <v>156</v>
      </c>
      <c r="X23">
        <v>65</v>
      </c>
      <c r="Y23">
        <v>41.67</v>
      </c>
      <c r="Z23">
        <v>63</v>
      </c>
      <c r="AA23">
        <v>43</v>
      </c>
      <c r="AB23">
        <v>68.25</v>
      </c>
      <c r="AC23">
        <v>9.93</v>
      </c>
    </row>
    <row r="24" spans="1:29" ht="12" customHeight="1" x14ac:dyDescent="0.2">
      <c r="A24" t="s">
        <v>71</v>
      </c>
      <c r="B24" t="s">
        <v>72</v>
      </c>
      <c r="C24" t="s">
        <v>28</v>
      </c>
      <c r="D24">
        <v>97</v>
      </c>
      <c r="E24" t="s">
        <v>20</v>
      </c>
      <c r="F24">
        <v>1</v>
      </c>
      <c r="G24">
        <v>2.29</v>
      </c>
      <c r="H24">
        <v>17</v>
      </c>
      <c r="I24">
        <v>9</v>
      </c>
      <c r="J24">
        <v>52.94</v>
      </c>
      <c r="K24">
        <v>323</v>
      </c>
      <c r="L24">
        <v>264</v>
      </c>
      <c r="M24">
        <v>81.73</v>
      </c>
      <c r="N24">
        <v>38.33</v>
      </c>
      <c r="O24">
        <v>107</v>
      </c>
      <c r="P24">
        <v>20</v>
      </c>
      <c r="Q24">
        <v>29</v>
      </c>
      <c r="R24">
        <v>58</v>
      </c>
      <c r="S24">
        <v>70</v>
      </c>
      <c r="T24">
        <v>30</v>
      </c>
      <c r="U24">
        <v>24</v>
      </c>
      <c r="V24">
        <v>16</v>
      </c>
      <c r="W24">
        <v>173</v>
      </c>
      <c r="X24">
        <v>81</v>
      </c>
      <c r="Y24">
        <v>46.82</v>
      </c>
      <c r="Z24">
        <v>52</v>
      </c>
      <c r="AA24">
        <v>35</v>
      </c>
      <c r="AB24">
        <v>67.31</v>
      </c>
      <c r="AC24">
        <v>11.45</v>
      </c>
    </row>
    <row r="25" spans="1:29" ht="12" customHeight="1" x14ac:dyDescent="0.2">
      <c r="A25" t="s">
        <v>73</v>
      </c>
      <c r="B25" t="s">
        <v>74</v>
      </c>
      <c r="C25" t="s">
        <v>19</v>
      </c>
      <c r="D25">
        <v>98</v>
      </c>
      <c r="E25" t="s">
        <v>20</v>
      </c>
      <c r="F25">
        <v>2</v>
      </c>
      <c r="G25">
        <v>1.03</v>
      </c>
      <c r="H25">
        <v>14</v>
      </c>
      <c r="I25">
        <v>4</v>
      </c>
      <c r="J25">
        <v>28.57</v>
      </c>
      <c r="K25">
        <v>467</v>
      </c>
      <c r="L25">
        <v>406</v>
      </c>
      <c r="M25">
        <v>86.94</v>
      </c>
      <c r="N25">
        <v>52.35</v>
      </c>
      <c r="O25">
        <v>85</v>
      </c>
      <c r="P25">
        <v>14</v>
      </c>
      <c r="Q25">
        <v>24</v>
      </c>
      <c r="R25">
        <v>47</v>
      </c>
      <c r="S25">
        <v>65</v>
      </c>
      <c r="T25">
        <v>23</v>
      </c>
      <c r="U25">
        <v>27</v>
      </c>
      <c r="V25">
        <v>15</v>
      </c>
      <c r="W25">
        <v>166</v>
      </c>
      <c r="X25">
        <v>86</v>
      </c>
      <c r="Y25">
        <v>51.81</v>
      </c>
      <c r="Z25">
        <v>63</v>
      </c>
      <c r="AA25">
        <v>51</v>
      </c>
      <c r="AB25">
        <v>80.95</v>
      </c>
      <c r="AC25">
        <v>11.26</v>
      </c>
    </row>
    <row r="26" spans="1:29" ht="12" customHeight="1" x14ac:dyDescent="0.2">
      <c r="A26" t="s">
        <v>75</v>
      </c>
      <c r="B26" t="s">
        <v>76</v>
      </c>
      <c r="C26" t="s">
        <v>77</v>
      </c>
      <c r="D26">
        <v>99</v>
      </c>
      <c r="E26" t="s">
        <v>78</v>
      </c>
      <c r="F26">
        <v>0</v>
      </c>
      <c r="G26">
        <v>0.59</v>
      </c>
      <c r="H26">
        <v>8</v>
      </c>
      <c r="I26">
        <v>1</v>
      </c>
      <c r="J26">
        <v>12.5</v>
      </c>
      <c r="K26">
        <v>578</v>
      </c>
      <c r="L26">
        <v>498</v>
      </c>
      <c r="M26">
        <v>86.16</v>
      </c>
      <c r="N26">
        <v>54.78</v>
      </c>
      <c r="O26">
        <v>125</v>
      </c>
      <c r="P26">
        <v>28</v>
      </c>
      <c r="Q26">
        <v>52</v>
      </c>
      <c r="R26">
        <v>45</v>
      </c>
      <c r="S26">
        <v>81</v>
      </c>
      <c r="T26">
        <v>46</v>
      </c>
      <c r="U26">
        <v>27</v>
      </c>
      <c r="V26">
        <v>8</v>
      </c>
      <c r="W26">
        <v>172</v>
      </c>
      <c r="X26">
        <v>84</v>
      </c>
      <c r="Y26">
        <v>48.84</v>
      </c>
      <c r="Z26">
        <v>59</v>
      </c>
      <c r="AA26">
        <v>43</v>
      </c>
      <c r="AB26">
        <v>72.88</v>
      </c>
      <c r="AC26">
        <v>17.559999999999999</v>
      </c>
    </row>
    <row r="27" spans="1:29" ht="12" customHeight="1" x14ac:dyDescent="0.2">
      <c r="A27" t="s">
        <v>79</v>
      </c>
      <c r="B27" t="s">
        <v>80</v>
      </c>
      <c r="C27" t="s">
        <v>19</v>
      </c>
      <c r="D27">
        <v>106</v>
      </c>
      <c r="E27" t="s">
        <v>81</v>
      </c>
      <c r="F27">
        <v>2</v>
      </c>
      <c r="G27">
        <v>1.32</v>
      </c>
      <c r="H27">
        <v>11</v>
      </c>
      <c r="I27">
        <v>4</v>
      </c>
      <c r="J27">
        <v>36.36</v>
      </c>
      <c r="K27">
        <v>577</v>
      </c>
      <c r="L27">
        <v>491</v>
      </c>
      <c r="M27">
        <v>85.1</v>
      </c>
      <c r="N27">
        <v>64.150000000000006</v>
      </c>
      <c r="O27">
        <v>128</v>
      </c>
      <c r="P27">
        <v>27</v>
      </c>
      <c r="Q27">
        <v>39</v>
      </c>
      <c r="R27">
        <v>62</v>
      </c>
      <c r="S27">
        <v>100</v>
      </c>
      <c r="T27">
        <v>51</v>
      </c>
      <c r="U27">
        <v>32</v>
      </c>
      <c r="V27">
        <v>17</v>
      </c>
      <c r="W27">
        <v>205</v>
      </c>
      <c r="X27">
        <v>84</v>
      </c>
      <c r="Y27">
        <v>40.98</v>
      </c>
      <c r="Z27">
        <v>82</v>
      </c>
      <c r="AA27">
        <v>64</v>
      </c>
      <c r="AB27">
        <v>78.05</v>
      </c>
      <c r="AC27">
        <v>8.17</v>
      </c>
    </row>
    <row r="28" spans="1:29" ht="12" customHeight="1" x14ac:dyDescent="0.2">
      <c r="A28" t="s">
        <v>82</v>
      </c>
      <c r="B28" t="s">
        <v>83</v>
      </c>
      <c r="C28" t="s">
        <v>28</v>
      </c>
      <c r="D28">
        <v>96</v>
      </c>
      <c r="E28" t="s">
        <v>29</v>
      </c>
      <c r="F28">
        <v>5</v>
      </c>
      <c r="G28">
        <v>2.75</v>
      </c>
      <c r="H28">
        <v>17</v>
      </c>
      <c r="I28">
        <v>14</v>
      </c>
      <c r="J28">
        <v>82.35</v>
      </c>
      <c r="K28">
        <v>702</v>
      </c>
      <c r="L28">
        <v>640</v>
      </c>
      <c r="M28">
        <v>91.17</v>
      </c>
      <c r="N28">
        <v>64.510000000000005</v>
      </c>
      <c r="O28">
        <v>84</v>
      </c>
      <c r="P28">
        <v>10</v>
      </c>
      <c r="Q28">
        <v>27</v>
      </c>
      <c r="R28">
        <v>47</v>
      </c>
      <c r="S28">
        <v>69</v>
      </c>
      <c r="T28">
        <v>24</v>
      </c>
      <c r="U28">
        <v>29</v>
      </c>
      <c r="V28">
        <v>16</v>
      </c>
      <c r="W28">
        <v>131</v>
      </c>
      <c r="X28">
        <v>67</v>
      </c>
      <c r="Y28">
        <v>51.15</v>
      </c>
      <c r="Z28">
        <v>85</v>
      </c>
      <c r="AA28">
        <v>71</v>
      </c>
      <c r="AB28">
        <v>83.53</v>
      </c>
      <c r="AC28">
        <v>19.329999999999998</v>
      </c>
    </row>
    <row r="29" spans="1:29" ht="12" customHeight="1" x14ac:dyDescent="0.2">
      <c r="A29" t="s">
        <v>84</v>
      </c>
      <c r="B29" t="s">
        <v>85</v>
      </c>
      <c r="C29" t="s">
        <v>19</v>
      </c>
      <c r="D29">
        <v>102</v>
      </c>
      <c r="E29" t="s">
        <v>20</v>
      </c>
      <c r="F29">
        <v>1</v>
      </c>
      <c r="G29">
        <v>3.18</v>
      </c>
      <c r="H29">
        <v>17</v>
      </c>
      <c r="I29">
        <v>6</v>
      </c>
      <c r="J29">
        <v>35.29</v>
      </c>
      <c r="K29">
        <v>507</v>
      </c>
      <c r="L29">
        <v>418</v>
      </c>
      <c r="M29">
        <v>82.45</v>
      </c>
      <c r="N29">
        <v>63.69</v>
      </c>
      <c r="O29">
        <v>132</v>
      </c>
      <c r="P29">
        <v>12</v>
      </c>
      <c r="Q29">
        <v>48</v>
      </c>
      <c r="R29">
        <v>72</v>
      </c>
      <c r="S29">
        <v>83</v>
      </c>
      <c r="T29">
        <v>31</v>
      </c>
      <c r="U29">
        <v>34</v>
      </c>
      <c r="V29">
        <v>18</v>
      </c>
      <c r="W29">
        <v>175</v>
      </c>
      <c r="X29">
        <v>89</v>
      </c>
      <c r="Y29">
        <v>50.86</v>
      </c>
      <c r="Z29">
        <v>71</v>
      </c>
      <c r="AA29">
        <v>59</v>
      </c>
      <c r="AB29">
        <v>83.1</v>
      </c>
      <c r="AC29">
        <v>10.33</v>
      </c>
    </row>
    <row r="30" spans="1:29" ht="12" customHeight="1" x14ac:dyDescent="0.2">
      <c r="A30" t="s">
        <v>86</v>
      </c>
      <c r="B30" t="s">
        <v>87</v>
      </c>
      <c r="C30" t="s">
        <v>19</v>
      </c>
      <c r="D30">
        <v>100</v>
      </c>
      <c r="E30" t="s">
        <v>20</v>
      </c>
      <c r="F30">
        <v>1</v>
      </c>
      <c r="G30">
        <v>1.83</v>
      </c>
      <c r="H30">
        <v>12</v>
      </c>
      <c r="I30">
        <v>2</v>
      </c>
      <c r="J30">
        <v>16.670000000000002</v>
      </c>
      <c r="K30">
        <v>455</v>
      </c>
      <c r="L30">
        <v>380</v>
      </c>
      <c r="M30">
        <v>83.52</v>
      </c>
      <c r="N30">
        <v>48.93</v>
      </c>
      <c r="O30">
        <v>104</v>
      </c>
      <c r="P30">
        <v>17</v>
      </c>
      <c r="Q30">
        <v>42</v>
      </c>
      <c r="R30">
        <v>45</v>
      </c>
      <c r="S30">
        <v>75</v>
      </c>
      <c r="T30">
        <v>37</v>
      </c>
      <c r="U30">
        <v>27</v>
      </c>
      <c r="V30">
        <v>11</v>
      </c>
      <c r="W30">
        <v>186</v>
      </c>
      <c r="X30">
        <v>85</v>
      </c>
      <c r="Y30">
        <v>45.7</v>
      </c>
      <c r="Z30">
        <v>59</v>
      </c>
      <c r="AA30">
        <v>41</v>
      </c>
      <c r="AB30">
        <v>69.489999999999995</v>
      </c>
      <c r="AC30">
        <v>12.96</v>
      </c>
    </row>
    <row r="31" spans="1:29" ht="12" customHeight="1" x14ac:dyDescent="0.2">
      <c r="A31" t="s">
        <v>88</v>
      </c>
      <c r="B31" t="s">
        <v>89</v>
      </c>
      <c r="C31" t="s">
        <v>28</v>
      </c>
      <c r="D31">
        <v>103</v>
      </c>
      <c r="E31" t="s">
        <v>90</v>
      </c>
      <c r="F31">
        <v>0</v>
      </c>
      <c r="G31">
        <v>2.15</v>
      </c>
      <c r="H31">
        <v>16</v>
      </c>
      <c r="I31">
        <v>4</v>
      </c>
      <c r="J31">
        <v>25</v>
      </c>
      <c r="K31">
        <v>540</v>
      </c>
      <c r="L31">
        <v>477</v>
      </c>
      <c r="M31">
        <v>88.33</v>
      </c>
      <c r="N31">
        <v>65.19</v>
      </c>
      <c r="O31">
        <v>102</v>
      </c>
      <c r="P31">
        <v>12</v>
      </c>
      <c r="Q31">
        <v>49</v>
      </c>
      <c r="R31">
        <v>41</v>
      </c>
      <c r="S31">
        <v>80</v>
      </c>
      <c r="T31">
        <v>25</v>
      </c>
      <c r="U31">
        <v>44</v>
      </c>
      <c r="V31">
        <v>11</v>
      </c>
      <c r="W31">
        <v>201</v>
      </c>
      <c r="X31">
        <v>99</v>
      </c>
      <c r="Y31">
        <v>49.25</v>
      </c>
      <c r="Z31">
        <v>62</v>
      </c>
      <c r="AA31">
        <v>41</v>
      </c>
      <c r="AB31">
        <v>66.13</v>
      </c>
      <c r="AC31">
        <v>6.03</v>
      </c>
    </row>
    <row r="32" spans="1:29" ht="12" customHeight="1" x14ac:dyDescent="0.2">
      <c r="A32" t="s">
        <v>91</v>
      </c>
      <c r="B32" t="s">
        <v>92</v>
      </c>
      <c r="C32" t="s">
        <v>19</v>
      </c>
      <c r="D32">
        <v>109</v>
      </c>
      <c r="E32" t="s">
        <v>20</v>
      </c>
      <c r="F32">
        <v>1</v>
      </c>
      <c r="G32">
        <v>2.85</v>
      </c>
      <c r="H32">
        <v>19</v>
      </c>
      <c r="I32">
        <v>5</v>
      </c>
      <c r="J32">
        <v>26.32</v>
      </c>
      <c r="K32">
        <v>701</v>
      </c>
      <c r="L32">
        <v>607</v>
      </c>
      <c r="M32">
        <v>86.59</v>
      </c>
      <c r="N32">
        <v>72.13</v>
      </c>
      <c r="O32">
        <v>122</v>
      </c>
      <c r="P32">
        <v>21</v>
      </c>
      <c r="Q32">
        <v>37</v>
      </c>
      <c r="R32">
        <v>64</v>
      </c>
      <c r="S32">
        <v>97</v>
      </c>
      <c r="T32">
        <v>38</v>
      </c>
      <c r="U32">
        <v>42</v>
      </c>
      <c r="V32">
        <v>17</v>
      </c>
      <c r="W32">
        <v>156</v>
      </c>
      <c r="X32">
        <v>79</v>
      </c>
      <c r="Y32">
        <v>50.64</v>
      </c>
      <c r="Z32">
        <v>97</v>
      </c>
      <c r="AA32">
        <v>73</v>
      </c>
      <c r="AB32">
        <v>75.260000000000005</v>
      </c>
      <c r="AC32">
        <v>8.64</v>
      </c>
    </row>
    <row r="33" spans="1:29" ht="12" customHeight="1" x14ac:dyDescent="0.2">
      <c r="A33" t="s">
        <v>93</v>
      </c>
      <c r="B33" t="s">
        <v>94</v>
      </c>
      <c r="C33" t="s">
        <v>77</v>
      </c>
      <c r="D33">
        <v>97</v>
      </c>
      <c r="E33" t="s">
        <v>95</v>
      </c>
      <c r="F33">
        <v>2</v>
      </c>
      <c r="G33">
        <v>1.33</v>
      </c>
      <c r="H33">
        <v>10</v>
      </c>
      <c r="I33">
        <v>5</v>
      </c>
      <c r="J33">
        <v>50</v>
      </c>
      <c r="K33">
        <v>659</v>
      </c>
      <c r="L33">
        <v>582</v>
      </c>
      <c r="M33">
        <v>88.32</v>
      </c>
      <c r="N33">
        <v>62.71</v>
      </c>
      <c r="O33">
        <v>107</v>
      </c>
      <c r="P33">
        <v>24</v>
      </c>
      <c r="Q33">
        <v>34</v>
      </c>
      <c r="R33">
        <v>49</v>
      </c>
      <c r="S33">
        <v>83</v>
      </c>
      <c r="T33">
        <v>31</v>
      </c>
      <c r="U33">
        <v>38</v>
      </c>
      <c r="V33">
        <v>14</v>
      </c>
      <c r="W33">
        <v>158</v>
      </c>
      <c r="X33">
        <v>75</v>
      </c>
      <c r="Y33">
        <v>47.47</v>
      </c>
      <c r="Z33">
        <v>57</v>
      </c>
      <c r="AA33">
        <v>43</v>
      </c>
      <c r="AB33">
        <v>75.44</v>
      </c>
      <c r="AC33">
        <v>13.87</v>
      </c>
    </row>
    <row r="34" spans="1:29" ht="12" customHeight="1" x14ac:dyDescent="0.2">
      <c r="A34" t="s">
        <v>96</v>
      </c>
      <c r="B34" t="s">
        <v>97</v>
      </c>
      <c r="C34" t="s">
        <v>19</v>
      </c>
      <c r="D34">
        <v>95</v>
      </c>
      <c r="E34" t="s">
        <v>20</v>
      </c>
      <c r="F34">
        <v>2</v>
      </c>
      <c r="G34">
        <v>0.68</v>
      </c>
      <c r="H34">
        <v>12</v>
      </c>
      <c r="I34">
        <v>3</v>
      </c>
      <c r="J34">
        <v>25</v>
      </c>
      <c r="K34">
        <v>456</v>
      </c>
      <c r="L34">
        <v>386</v>
      </c>
      <c r="M34">
        <v>84.65</v>
      </c>
      <c r="N34">
        <v>54.39</v>
      </c>
      <c r="O34">
        <v>112</v>
      </c>
      <c r="P34">
        <v>24</v>
      </c>
      <c r="Q34">
        <v>46</v>
      </c>
      <c r="R34">
        <v>42</v>
      </c>
      <c r="S34">
        <v>85</v>
      </c>
      <c r="T34">
        <v>43</v>
      </c>
      <c r="U34">
        <v>31</v>
      </c>
      <c r="V34">
        <v>11</v>
      </c>
      <c r="W34">
        <v>192</v>
      </c>
      <c r="X34">
        <v>100</v>
      </c>
      <c r="Y34">
        <v>52.08</v>
      </c>
      <c r="Z34">
        <v>43</v>
      </c>
      <c r="AA34">
        <v>27</v>
      </c>
      <c r="AB34">
        <v>62.79</v>
      </c>
      <c r="AC34">
        <v>9.81</v>
      </c>
    </row>
    <row r="35" spans="1:29" ht="12" customHeight="1" x14ac:dyDescent="0.2">
      <c r="A35" t="s">
        <v>98</v>
      </c>
      <c r="B35" t="s">
        <v>99</v>
      </c>
      <c r="C35" t="s">
        <v>28</v>
      </c>
      <c r="D35">
        <v>101</v>
      </c>
      <c r="E35" t="s">
        <v>20</v>
      </c>
      <c r="F35">
        <v>3</v>
      </c>
      <c r="G35">
        <v>2.97</v>
      </c>
      <c r="H35">
        <v>14</v>
      </c>
      <c r="I35">
        <v>7</v>
      </c>
      <c r="J35">
        <v>50</v>
      </c>
      <c r="K35">
        <v>602</v>
      </c>
      <c r="L35">
        <v>536</v>
      </c>
      <c r="M35">
        <v>89.04</v>
      </c>
      <c r="N35">
        <v>57.58</v>
      </c>
      <c r="O35">
        <v>119</v>
      </c>
      <c r="P35">
        <v>24</v>
      </c>
      <c r="Q35">
        <v>32</v>
      </c>
      <c r="R35">
        <v>63</v>
      </c>
      <c r="S35">
        <v>82</v>
      </c>
      <c r="T35">
        <v>33</v>
      </c>
      <c r="U35">
        <v>34</v>
      </c>
      <c r="V35">
        <v>15</v>
      </c>
      <c r="W35">
        <v>174</v>
      </c>
      <c r="X35">
        <v>87</v>
      </c>
      <c r="Y35">
        <v>50</v>
      </c>
      <c r="Z35">
        <v>80</v>
      </c>
      <c r="AA35">
        <v>66</v>
      </c>
      <c r="AB35">
        <v>82.5</v>
      </c>
      <c r="AC35">
        <v>11</v>
      </c>
    </row>
    <row r="36" spans="1:29" ht="12" customHeight="1" x14ac:dyDescent="0.2">
      <c r="A36" t="s">
        <v>100</v>
      </c>
      <c r="B36" t="s">
        <v>101</v>
      </c>
      <c r="C36" t="s">
        <v>19</v>
      </c>
      <c r="D36">
        <v>99</v>
      </c>
      <c r="E36" t="s">
        <v>20</v>
      </c>
      <c r="F36">
        <v>1</v>
      </c>
      <c r="G36">
        <v>2.44</v>
      </c>
      <c r="H36">
        <v>26</v>
      </c>
      <c r="I36">
        <v>4</v>
      </c>
      <c r="J36">
        <v>15.38</v>
      </c>
      <c r="K36">
        <v>689</v>
      </c>
      <c r="L36">
        <v>606</v>
      </c>
      <c r="M36">
        <v>87.95</v>
      </c>
      <c r="N36">
        <v>76.98</v>
      </c>
      <c r="O36">
        <v>103</v>
      </c>
      <c r="P36">
        <v>12</v>
      </c>
      <c r="Q36">
        <v>35</v>
      </c>
      <c r="R36">
        <v>56</v>
      </c>
      <c r="S36">
        <v>94</v>
      </c>
      <c r="T36">
        <v>19</v>
      </c>
      <c r="U36">
        <v>50</v>
      </c>
      <c r="V36">
        <v>25</v>
      </c>
      <c r="W36">
        <v>215</v>
      </c>
      <c r="X36">
        <v>103</v>
      </c>
      <c r="Y36">
        <v>47.91</v>
      </c>
      <c r="Z36">
        <v>78</v>
      </c>
      <c r="AA36">
        <v>76</v>
      </c>
      <c r="AB36">
        <v>97.44</v>
      </c>
      <c r="AC36">
        <v>5.85</v>
      </c>
    </row>
    <row r="37" spans="1:29" ht="12" customHeight="1" x14ac:dyDescent="0.2">
      <c r="A37" t="s">
        <v>102</v>
      </c>
      <c r="B37" t="s">
        <v>103</v>
      </c>
      <c r="C37" t="s">
        <v>19</v>
      </c>
      <c r="D37">
        <v>99</v>
      </c>
      <c r="E37" t="s">
        <v>104</v>
      </c>
      <c r="F37">
        <v>1</v>
      </c>
      <c r="G37">
        <v>0.62</v>
      </c>
      <c r="H37">
        <v>9</v>
      </c>
      <c r="I37">
        <v>3</v>
      </c>
      <c r="J37">
        <v>33.33</v>
      </c>
      <c r="K37">
        <v>434</v>
      </c>
      <c r="L37">
        <v>375</v>
      </c>
      <c r="M37">
        <v>86.41</v>
      </c>
      <c r="N37">
        <v>53.75</v>
      </c>
      <c r="O37">
        <v>95</v>
      </c>
      <c r="P37">
        <v>22</v>
      </c>
      <c r="Q37">
        <v>40</v>
      </c>
      <c r="R37">
        <v>33</v>
      </c>
      <c r="S37">
        <v>68</v>
      </c>
      <c r="T37">
        <v>32</v>
      </c>
      <c r="U37">
        <v>31</v>
      </c>
      <c r="V37">
        <v>5</v>
      </c>
      <c r="W37">
        <v>182</v>
      </c>
      <c r="X37">
        <v>93</v>
      </c>
      <c r="Y37">
        <v>51.1</v>
      </c>
      <c r="Z37">
        <v>39</v>
      </c>
      <c r="AA37">
        <v>28</v>
      </c>
      <c r="AB37">
        <v>71.790000000000006</v>
      </c>
      <c r="AC37">
        <v>12.55</v>
      </c>
    </row>
    <row r="38" spans="1:29" ht="12" customHeight="1" x14ac:dyDescent="0.2">
      <c r="A38" t="s">
        <v>105</v>
      </c>
      <c r="B38" t="s">
        <v>106</v>
      </c>
      <c r="C38" t="s">
        <v>19</v>
      </c>
      <c r="D38">
        <v>109</v>
      </c>
      <c r="E38" t="s">
        <v>107</v>
      </c>
      <c r="F38">
        <v>3</v>
      </c>
      <c r="G38">
        <v>0.5</v>
      </c>
      <c r="H38">
        <v>5</v>
      </c>
      <c r="I38">
        <v>4</v>
      </c>
      <c r="J38">
        <v>80</v>
      </c>
      <c r="K38">
        <v>419</v>
      </c>
      <c r="L38">
        <v>362</v>
      </c>
      <c r="M38">
        <v>86.4</v>
      </c>
      <c r="N38">
        <v>62.67</v>
      </c>
      <c r="O38">
        <v>104</v>
      </c>
      <c r="P38">
        <v>28</v>
      </c>
      <c r="Q38">
        <v>37</v>
      </c>
      <c r="R38">
        <v>39</v>
      </c>
      <c r="S38">
        <v>75</v>
      </c>
      <c r="T38">
        <v>41</v>
      </c>
      <c r="U38">
        <v>24</v>
      </c>
      <c r="V38">
        <v>10</v>
      </c>
      <c r="W38">
        <v>190</v>
      </c>
      <c r="X38">
        <v>87</v>
      </c>
      <c r="Y38">
        <v>45.79</v>
      </c>
      <c r="Z38">
        <v>45</v>
      </c>
      <c r="AA38">
        <v>34</v>
      </c>
      <c r="AB38">
        <v>75.56</v>
      </c>
      <c r="AC38">
        <v>5.84</v>
      </c>
    </row>
    <row r="39" spans="1:29" ht="12" customHeight="1" x14ac:dyDescent="0.2">
      <c r="A39" t="s">
        <v>108</v>
      </c>
      <c r="B39" t="s">
        <v>109</v>
      </c>
      <c r="C39" t="s">
        <v>19</v>
      </c>
      <c r="D39">
        <v>99</v>
      </c>
      <c r="E39" t="s">
        <v>20</v>
      </c>
      <c r="F39">
        <v>4</v>
      </c>
      <c r="G39">
        <v>2.56</v>
      </c>
      <c r="H39">
        <v>18</v>
      </c>
      <c r="I39">
        <v>10</v>
      </c>
      <c r="J39">
        <v>55.56</v>
      </c>
      <c r="K39">
        <v>462</v>
      </c>
      <c r="L39">
        <v>382</v>
      </c>
      <c r="M39">
        <v>82.68</v>
      </c>
      <c r="N39">
        <v>59.06</v>
      </c>
      <c r="O39">
        <v>131</v>
      </c>
      <c r="P39">
        <v>27</v>
      </c>
      <c r="Q39">
        <v>43</v>
      </c>
      <c r="R39">
        <v>61</v>
      </c>
      <c r="S39">
        <v>89</v>
      </c>
      <c r="T39">
        <v>30</v>
      </c>
      <c r="U39">
        <v>44</v>
      </c>
      <c r="V39">
        <v>15</v>
      </c>
      <c r="W39">
        <v>182</v>
      </c>
      <c r="X39">
        <v>102</v>
      </c>
      <c r="Y39">
        <v>56.04</v>
      </c>
      <c r="Z39">
        <v>54</v>
      </c>
      <c r="AA39">
        <v>37</v>
      </c>
      <c r="AB39">
        <v>68.52</v>
      </c>
      <c r="AC39">
        <v>13.94</v>
      </c>
    </row>
    <row r="40" spans="1:29" ht="12" customHeight="1" x14ac:dyDescent="0.2">
      <c r="A40" t="s">
        <v>110</v>
      </c>
      <c r="B40" t="s">
        <v>111</v>
      </c>
      <c r="C40" t="s">
        <v>112</v>
      </c>
      <c r="D40">
        <v>103</v>
      </c>
      <c r="E40" t="s">
        <v>113</v>
      </c>
      <c r="F40">
        <v>2</v>
      </c>
      <c r="G40">
        <v>0.72</v>
      </c>
      <c r="H40">
        <v>13</v>
      </c>
      <c r="I40">
        <v>5</v>
      </c>
      <c r="J40">
        <v>38.46</v>
      </c>
      <c r="K40">
        <v>522</v>
      </c>
      <c r="L40">
        <v>468</v>
      </c>
      <c r="M40">
        <v>89.66</v>
      </c>
      <c r="N40">
        <v>62.29</v>
      </c>
      <c r="O40">
        <v>92</v>
      </c>
      <c r="P40">
        <v>13</v>
      </c>
      <c r="Q40">
        <v>44</v>
      </c>
      <c r="R40">
        <v>35</v>
      </c>
      <c r="S40">
        <v>78</v>
      </c>
      <c r="T40">
        <v>32</v>
      </c>
      <c r="U40">
        <v>38</v>
      </c>
      <c r="V40">
        <v>8</v>
      </c>
      <c r="W40">
        <v>169</v>
      </c>
      <c r="X40">
        <v>68</v>
      </c>
      <c r="Y40">
        <v>40.24</v>
      </c>
      <c r="Z40">
        <v>65</v>
      </c>
      <c r="AA40">
        <v>56</v>
      </c>
      <c r="AB40">
        <v>86.15</v>
      </c>
      <c r="AC40">
        <v>9.67</v>
      </c>
    </row>
    <row r="41" spans="1:29" ht="12" customHeight="1" x14ac:dyDescent="0.2">
      <c r="A41" t="s">
        <v>114</v>
      </c>
      <c r="B41" t="s">
        <v>115</v>
      </c>
      <c r="C41" t="s">
        <v>116</v>
      </c>
      <c r="D41">
        <v>90</v>
      </c>
      <c r="E41" t="s">
        <v>117</v>
      </c>
      <c r="F41">
        <v>3</v>
      </c>
      <c r="G41">
        <v>4.5599999999999996</v>
      </c>
      <c r="H41">
        <v>18</v>
      </c>
      <c r="I41">
        <v>11</v>
      </c>
      <c r="J41">
        <v>61.11</v>
      </c>
      <c r="K41">
        <v>531</v>
      </c>
      <c r="L41">
        <v>465</v>
      </c>
      <c r="M41">
        <v>87.57</v>
      </c>
      <c r="N41">
        <v>67.87</v>
      </c>
      <c r="O41">
        <v>87</v>
      </c>
      <c r="P41">
        <v>17</v>
      </c>
      <c r="Q41">
        <v>29</v>
      </c>
      <c r="R41">
        <v>41</v>
      </c>
      <c r="S41">
        <v>68</v>
      </c>
      <c r="T41">
        <v>32</v>
      </c>
      <c r="U41">
        <v>19</v>
      </c>
      <c r="V41">
        <v>17</v>
      </c>
      <c r="W41">
        <v>161</v>
      </c>
      <c r="X41">
        <v>68</v>
      </c>
      <c r="Y41">
        <v>42.24</v>
      </c>
      <c r="Z41">
        <v>55</v>
      </c>
      <c r="AA41">
        <v>42</v>
      </c>
      <c r="AB41">
        <v>76.36</v>
      </c>
      <c r="AC41">
        <v>6.2</v>
      </c>
    </row>
    <row r="42" spans="1:29" ht="12" customHeight="1" x14ac:dyDescent="0.2">
      <c r="A42" t="s">
        <v>114</v>
      </c>
      <c r="B42" t="s">
        <v>118</v>
      </c>
      <c r="C42" t="s">
        <v>116</v>
      </c>
      <c r="D42">
        <v>90</v>
      </c>
      <c r="E42" t="s">
        <v>29</v>
      </c>
      <c r="F42">
        <v>4</v>
      </c>
      <c r="G42">
        <v>0.93</v>
      </c>
      <c r="H42">
        <v>9</v>
      </c>
      <c r="I42">
        <v>6</v>
      </c>
      <c r="J42">
        <v>66.67</v>
      </c>
      <c r="K42">
        <v>653</v>
      </c>
      <c r="L42">
        <v>587</v>
      </c>
      <c r="M42">
        <v>89.89</v>
      </c>
      <c r="N42">
        <v>65.7</v>
      </c>
      <c r="O42">
        <v>90</v>
      </c>
      <c r="P42">
        <v>19</v>
      </c>
      <c r="Q42">
        <v>33</v>
      </c>
      <c r="R42">
        <v>38</v>
      </c>
      <c r="S42">
        <v>57</v>
      </c>
      <c r="T42">
        <v>29</v>
      </c>
      <c r="U42">
        <v>20</v>
      </c>
      <c r="V42">
        <v>8</v>
      </c>
      <c r="W42">
        <v>125</v>
      </c>
      <c r="X42">
        <v>50</v>
      </c>
      <c r="Y42">
        <v>40</v>
      </c>
      <c r="Z42">
        <v>48</v>
      </c>
      <c r="AA42">
        <v>34</v>
      </c>
      <c r="AB42">
        <v>70.83</v>
      </c>
      <c r="AC42">
        <v>17.309999999999999</v>
      </c>
    </row>
    <row r="43" spans="1:29" ht="12" customHeight="1" x14ac:dyDescent="0.2">
      <c r="A43" t="s">
        <v>119</v>
      </c>
      <c r="B43" t="s">
        <v>120</v>
      </c>
      <c r="C43" t="s">
        <v>121</v>
      </c>
      <c r="D43">
        <v>92</v>
      </c>
      <c r="E43" t="s">
        <v>20</v>
      </c>
      <c r="F43">
        <v>3</v>
      </c>
      <c r="G43">
        <v>2.72</v>
      </c>
      <c r="H43">
        <v>21</v>
      </c>
      <c r="I43">
        <v>6</v>
      </c>
      <c r="J43">
        <v>28.57</v>
      </c>
      <c r="K43">
        <v>606</v>
      </c>
      <c r="L43">
        <v>539</v>
      </c>
      <c r="M43">
        <v>88.94</v>
      </c>
      <c r="N43">
        <v>66.540000000000006</v>
      </c>
      <c r="O43">
        <v>95</v>
      </c>
      <c r="P43">
        <v>9</v>
      </c>
      <c r="Q43">
        <v>35</v>
      </c>
      <c r="R43">
        <v>51</v>
      </c>
      <c r="S43">
        <v>82</v>
      </c>
      <c r="T43">
        <v>22</v>
      </c>
      <c r="U43">
        <v>42</v>
      </c>
      <c r="V43">
        <v>18</v>
      </c>
      <c r="W43">
        <v>164</v>
      </c>
      <c r="X43">
        <v>85</v>
      </c>
      <c r="Y43">
        <v>51.83</v>
      </c>
      <c r="Z43">
        <v>64</v>
      </c>
      <c r="AA43">
        <v>48</v>
      </c>
      <c r="AB43">
        <v>75</v>
      </c>
      <c r="AC43">
        <v>4.72</v>
      </c>
    </row>
    <row r="44" spans="1:29" ht="12" customHeight="1" x14ac:dyDescent="0.2">
      <c r="A44" t="s">
        <v>122</v>
      </c>
      <c r="B44" t="s">
        <v>123</v>
      </c>
      <c r="C44" t="s">
        <v>116</v>
      </c>
      <c r="D44">
        <v>97</v>
      </c>
      <c r="E44" t="s">
        <v>20</v>
      </c>
      <c r="F44">
        <v>2</v>
      </c>
      <c r="G44">
        <v>1.74</v>
      </c>
      <c r="H44">
        <v>18</v>
      </c>
      <c r="I44">
        <v>8</v>
      </c>
      <c r="J44">
        <v>44.44</v>
      </c>
      <c r="K44">
        <v>699</v>
      </c>
      <c r="L44">
        <v>633</v>
      </c>
      <c r="M44">
        <v>90.56</v>
      </c>
      <c r="N44">
        <v>67.569999999999993</v>
      </c>
      <c r="O44">
        <v>81</v>
      </c>
      <c r="P44">
        <v>8</v>
      </c>
      <c r="Q44">
        <v>12</v>
      </c>
      <c r="R44">
        <v>61</v>
      </c>
      <c r="S44">
        <v>68</v>
      </c>
      <c r="T44">
        <v>16</v>
      </c>
      <c r="U44">
        <v>27</v>
      </c>
      <c r="V44">
        <v>25</v>
      </c>
      <c r="W44">
        <v>150</v>
      </c>
      <c r="X44">
        <v>80</v>
      </c>
      <c r="Y44">
        <v>53.33</v>
      </c>
      <c r="Z44">
        <v>82</v>
      </c>
      <c r="AA44">
        <v>71</v>
      </c>
      <c r="AB44">
        <v>86.59</v>
      </c>
      <c r="AC44">
        <v>8.58</v>
      </c>
    </row>
    <row r="45" spans="1:29" ht="12" customHeight="1" x14ac:dyDescent="0.2">
      <c r="A45" t="s">
        <v>124</v>
      </c>
      <c r="B45" t="s">
        <v>125</v>
      </c>
      <c r="C45" t="s">
        <v>116</v>
      </c>
      <c r="D45">
        <v>95</v>
      </c>
      <c r="E45" t="s">
        <v>20</v>
      </c>
      <c r="F45">
        <v>3</v>
      </c>
      <c r="G45">
        <v>2.33</v>
      </c>
      <c r="H45">
        <v>15</v>
      </c>
      <c r="I45">
        <v>6</v>
      </c>
      <c r="J45">
        <v>40</v>
      </c>
      <c r="K45">
        <v>567</v>
      </c>
      <c r="L45">
        <v>509</v>
      </c>
      <c r="M45">
        <v>89.77</v>
      </c>
      <c r="N45">
        <v>63.98</v>
      </c>
      <c r="O45">
        <v>79</v>
      </c>
      <c r="P45">
        <v>16</v>
      </c>
      <c r="Q45">
        <v>16</v>
      </c>
      <c r="R45">
        <v>47</v>
      </c>
      <c r="S45">
        <v>63</v>
      </c>
      <c r="T45">
        <v>30</v>
      </c>
      <c r="U45">
        <v>28</v>
      </c>
      <c r="V45">
        <v>5</v>
      </c>
      <c r="W45">
        <v>171</v>
      </c>
      <c r="X45">
        <v>68</v>
      </c>
      <c r="Y45">
        <v>39.770000000000003</v>
      </c>
      <c r="Z45">
        <v>83</v>
      </c>
      <c r="AA45">
        <v>65</v>
      </c>
      <c r="AB45">
        <v>78.31</v>
      </c>
      <c r="AC45">
        <v>9.42</v>
      </c>
    </row>
  </sheetData>
  <autoFilter ref="A1:AC45" xr:uid="{00000000-0001-0000-0000-000000000000}">
    <filterColumn colId="7" showButton="0"/>
    <filterColumn colId="8" showButton="0"/>
    <filterColumn colId="10" showButton="0"/>
    <filterColumn colId="11" showButton="0"/>
    <filterColumn colId="14" showButton="0"/>
    <filterColumn colId="15" showButton="0"/>
    <filterColumn colId="16" showButton="0"/>
    <filterColumn colId="18" showButton="0"/>
    <filterColumn colId="19" showButton="0"/>
    <filterColumn colId="20" showButton="0"/>
    <filterColumn colId="22" showButton="0"/>
    <filterColumn colId="23" showButton="0"/>
    <filterColumn colId="25" showButton="0"/>
    <filterColumn colId="26" showButton="0"/>
  </autoFilter>
  <mergeCells count="6">
    <mergeCell ref="Z1:AB1"/>
    <mergeCell ref="H1:J1"/>
    <mergeCell ref="K1:M1"/>
    <mergeCell ref="O1:R1"/>
    <mergeCell ref="S1:V1"/>
    <mergeCell ref="W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TeamStats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Braulio Joel Rojas Mayoral</cp:lastModifiedBy>
  <dcterms:modified xsi:type="dcterms:W3CDTF">2026-02-24T15:21:26Z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2026-02-13T18:44:59Z</dcterms:created>
  <cp:revision>0</cp:revision>
</cp:coreProperties>
</file>